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Garza\GitHub\pyAMZN\"/>
    </mc:Choice>
  </mc:AlternateContent>
  <xr:revisionPtr revIDLastSave="0" documentId="13_ncr:9_{A01F9FD7-BE64-4F3F-A41E-FF97487A0D81}" xr6:coauthVersionLast="47" xr6:coauthVersionMax="47" xr10:uidLastSave="{00000000-0000-0000-0000-000000000000}"/>
  <bookViews>
    <workbookView xWindow="1050" yWindow="760" windowWidth="34690" windowHeight="19590" xr2:uid="{F10B2CF6-2AA2-4775-8C63-B08C163B086E}"/>
  </bookViews>
  <sheets>
    <sheet name="results_2025" sheetId="1" r:id="rId1"/>
  </sheets>
  <definedNames>
    <definedName name="_xlnm._FilterDatabase" localSheetId="0" hidden="1">results_2025!$A$1:$G$92</definedName>
  </definedNames>
  <calcPr calcId="0"/>
</workbook>
</file>

<file path=xl/calcChain.xml><?xml version="1.0" encoding="utf-8"?>
<calcChain xmlns="http://schemas.openxmlformats.org/spreadsheetml/2006/main">
  <c r="Q9" i="1" l="1"/>
  <c r="P9" i="1"/>
  <c r="O9" i="1"/>
  <c r="O8" i="1"/>
  <c r="O7" i="1"/>
  <c r="O6" i="1"/>
  <c r="O5" i="1"/>
  <c r="O4" i="1"/>
</calcChain>
</file>

<file path=xl/sharedStrings.xml><?xml version="1.0" encoding="utf-8"?>
<sst xmlns="http://schemas.openxmlformats.org/spreadsheetml/2006/main" count="279" uniqueCount="233">
  <si>
    <t>invoice</t>
  </si>
  <si>
    <t>order_date</t>
  </si>
  <si>
    <t>name</t>
  </si>
  <si>
    <t>price</t>
  </si>
  <si>
    <t>quality</t>
  </si>
  <si>
    <t>total_price</t>
  </si>
  <si>
    <t>breadcrumb</t>
  </si>
  <si>
    <t>https://www.amazon.com/gp/your-account/order-details/ref=ppx_yo_dt_b_order_details_o00?ie=UTF8&amp;orderID=113-8656981-4789808</t>
  </si>
  <si>
    <t>Coralpearl Desk Cable Drop Clips Non-Adhesive, Table Cord Stay Holder Weighted, Small Wire Management Clamp Removable, Silicone Tidy Organizer Keeper for Phone Computer Chargers (2 Black + 2 White)</t>
  </si>
  <si>
    <t>https://www.amazon.com/gp/your-account/order-details/ref=ppx_yo_dt_b_order_details_o01?ie=UTF8&amp;orderID=113-9351308-9853857</t>
  </si>
  <si>
    <t>Refrigerator Spill Mat, 37.5 X 8.5 Fridge Mat Silicone Drip Tray Catcher for Washing Machine Refrigerator Spill Liner Floor Protector Anti-Slip (Black)</t>
  </si>
  <si>
    <t>Appliances-Parts &amp; Accessories-Beverage Refrigerator Replacement Parts</t>
  </si>
  <si>
    <t>https://www.amazon.com/gp/your-account/order-details/ref=ppx_yo_dt_b_order_details_o02?ie=UTF8&amp;orderID=113-5103591-0434638</t>
  </si>
  <si>
    <t>Refrigerator Drip Catcher for Water Tray, Absorbent Pad for Refrigerator Drip Tray, Protects Water Spills, No More Water Stain (Rectangular)</t>
  </si>
  <si>
    <t>Appliances-Parts &amp; Accessories-Range Parts &amp; Accessories-Drip Pans</t>
  </si>
  <si>
    <t>https://www.amazon.com/gp/your-account/order-details/ref=ppx_yo_dt_b_order_details_o03?ie=UTF8&amp;orderID=114-9837121-4893824</t>
  </si>
  <si>
    <t>Old Spice Aluminum Free Deodorant for Men Red Zone Collection, Swagger Invisible Solid, Lime &amp; Cedarwood Scent, 3.8 Oz</t>
  </si>
  <si>
    <t>Beauty &amp; Personal Care-Personal Care-Deodorants &amp; Antiperspirants-Deodorant</t>
  </si>
  <si>
    <t>https://www.amazon.com/gp/your-account/order-details/ref=ppx_yo_dt_b_order_details_o04?ie=UTF8&amp;orderID=112-5401043-7289855</t>
  </si>
  <si>
    <t>Amazon eGift Card - Happy Birthday</t>
  </si>
  <si>
    <t>Gift Cards-Gift Cards</t>
  </si>
  <si>
    <t>https://www.amazon.com/gp/your-account/order-details/ref=ppx_yo_dt_b_order_details_o05?ie=UTF8&amp;orderID=112-8739657-4280264</t>
  </si>
  <si>
    <t>UNIKSTEP 2 Pairs (4 Pieces) Shoe Sole Protectors, Wave Pattern Shoe Bottom and Heel Non Slip Grips, Self Adhesive Anti Skid Noise Reduction Pads (Black)</t>
  </si>
  <si>
    <t>Health &amp; Household-Health Care-Foot Health-Inserts &amp; Insoles-Heel Cushions &amp; Cups</t>
  </si>
  <si>
    <t>Nature's Bounty Vitamin C 500mg, Supports a Healthy Immune System, Daily Vitamin Supplement, 250 Vegetarian Tablets</t>
  </si>
  <si>
    <t>Health &amp; Household-Vitamins, Minerals &amp; Supplements-Vitamins-Vitamin C</t>
  </si>
  <si>
    <t>Nature's Bounty Zinc 50mg, Immune Support &amp; Antioxidant Supplement, Promotes Skin Health, 1 Caplet Per Day, Gluten Free, 250 Vegetarian Caplets</t>
  </si>
  <si>
    <t>Health &amp; Household-Vitamins, Minerals &amp; Supplements-Minerals-Zinc</t>
  </si>
  <si>
    <t>https://www.amazon.com/gp/your-account/order-details/ref=ppx_yo_dt_b_order_details_o06?ie=UTF8&amp;orderID=112-0920627-4458611</t>
  </si>
  <si>
    <t>AceVac 11 HEPA Vacuum Replacement Filter Compatible with AFNOP Acevac11 Cordless Vacuum Cleaner (4 Pack Hepa Filters and 4 Pack Sponge Sets)</t>
  </si>
  <si>
    <t>Home &amp; Kitchen-Vacuums &amp; Floor Care-Vacuum Parts &amp; Accessories-Filters-Canister Filters</t>
  </si>
  <si>
    <t>https://www.amazon.com/gp/your-account/order-details/ref=ppx_yo_dt_b_order_details_o07?ie=UTF8&amp;orderID=112-0217276-8653877</t>
  </si>
  <si>
    <t>https://www.amazon.com/gp/your-account/order-details/ref=ppx_yo_dt_b_order_details_o08?ie=UTF8&amp;orderID=112-4693749-9759402</t>
  </si>
  <si>
    <t>FREE SOLDIER Men's Waterproof Hiking Boots Lightweight Work Boots Military Tactical Boots Durable Combat Boots</t>
  </si>
  <si>
    <t>Clothing, Shoes &amp; Jewelry-Men-Uniforms, Work &amp; Safety-Shoes-Military &amp; Tactical</t>
  </si>
  <si>
    <t>https://www.amazon.com/gp/your-account/order-details/ref=ppx_yo_dt_b_order_details_o09?ie=UTF8&amp;orderID=112-8953044-7681836</t>
  </si>
  <si>
    <t>Korky Large 3-inch Complete Toilet Repair Kit, Fixes: Running, Noisy, No/Slow Refill, and No/Weak Flush Toilets, Easy to Install, 5010MP</t>
  </si>
  <si>
    <t>Tools &amp; Home Improvement-Plumbing-Toilet Parts-Toilet Repair Kits</t>
  </si>
  <si>
    <t>https://www.amazon.com/gp/your-account/order-details/ref=ppx_yo_dt_b_order_details_o00?ie=UTF8&amp;orderID=112-7184592-6293836</t>
  </si>
  <si>
    <t>Keppi Electrolytes Powder â€“ Blueberry Pomegranate Flavor â€“ No Sugar Hydration Supplement with Potassium, Magnesium, Sodium â€“ 50 Servings â€“ Keto, Vegan, Fasting-Friendly, Zero Calorie Electrolyte Drink</t>
  </si>
  <si>
    <t>Health &amp; Household-Diet &amp; Sports Nutrition-Sports Nutrition-Electrolyte Replacements</t>
  </si>
  <si>
    <t>https://www.amazon.com/gp/your-account/order-details/ref=ppx_yo_dt_b_order_details_o01?ie=UTF8&amp;orderID=112-4110867-4757015</t>
  </si>
  <si>
    <t>Refrigerator Water Filter Compatible with EverydropÂ® Filter 1, EDR1RXD1, W10295370A, WHR1RXD1, P8RFWB2L, W10295370, EDR1RXD1B, P4RFWB, KenmoreÂ® 46-9081, 46-9930, 3Pack</t>
  </si>
  <si>
    <t>Appliances-Parts &amp; Accessories-Refrigerator Parts &amp; Accessories-Water Filters</t>
  </si>
  <si>
    <t>https://www.amazon.com/gp/your-account/order-details/ref=ppx_yo_dt_b_order_details_o02?ie=UTF8&amp;orderID=112-9178605-1171419</t>
  </si>
  <si>
    <t>Refrigerator Water Inlet Solenoid Valve for Whirlpool WRS325SDHW00 WRS325SDHW01 WRS325SDHW04 WRS325SDHW05 WRS325SDHZ00 WRS325SDHZ01 WRS325SDHZ04 WRS325SDHZ05 WRS331FDDB00 WRS331FDDB01 WRS331FDDB02</t>
  </si>
  <si>
    <t>Appliances-Parts &amp; Accessories-Refrigerator Parts &amp; Accessories-Ice Makers</t>
  </si>
  <si>
    <t>https://www.amazon.com/gp/your-account/order-details/ref=ppx_yo_dt_b_order_details_o03?ie=UTF8&amp;orderID=113-7444496-2098629</t>
  </si>
  <si>
    <t>https://www.amazon.com/gp/your-account/order-details/ref=ppx_yo_dt_b_order_details_o04?ie=UTF8&amp;orderID=112-1288318-0409002</t>
  </si>
  <si>
    <t>Amazon Basics Trash Bags, Tall Kitchen Drawstring, Unscented, 13 Gallon, 200 Count, Pack of 1</t>
  </si>
  <si>
    <t>Health &amp; Household-Household Supplies-Paper &amp; Plastic-Trash, Compost &amp; Lawn Bags-Trash Bags</t>
  </si>
  <si>
    <t>Simpli-Magic Cotton Hand Towels, Gray, 12 Pack</t>
  </si>
  <si>
    <t>Home &amp; Kitchen-Bath-Towels-Hand Towels</t>
  </si>
  <si>
    <t>https://www.amazon.com/gp/your-account/order-details/ref=ppx_yo_dt_b_order_details_o05?ie=UTF8&amp;orderID=113-1037634-9330616</t>
  </si>
  <si>
    <t>BetterBody Foods Organic Chia Seeds 2 lbs, 32 Oz, with Omega-3, Non-GMO, Gluten Free, Keto Diet Friendly, Vegan, Good Source of Fiber</t>
  </si>
  <si>
    <t>Grocery &amp; Gourmet Food-Pantry Staples-Cooking &amp; Baking-Nuts &amp; Seeds-Chia Seeds</t>
  </si>
  <si>
    <t>Rael Pimple Patches, Miracle Retinol Spot Cover - Hydrocolloid Acne Patch for Face, Absorbing Zits &amp; Blemishes, PM Advanced Treatment, Facial Sticker (72 Count)</t>
  </si>
  <si>
    <t>Beauty &amp; Personal Care-Skin Care-Face-Treatments &amp; Masks-Pore Cleansing Strips</t>
  </si>
  <si>
    <t>https://www.amazon.com/gp/your-account/order-details/ref=ppx_yo_dt_b_order_details_o06?ie=UTF8&amp;orderID=112-2556968-4217847</t>
  </si>
  <si>
    <t>Seafoam SF-16-12 Motor Treatment for Gas Applications, Case of 12, 16oz Bottle</t>
  </si>
  <si>
    <t>Automotive-Oils &amp; Fluids-Additives-Engine &amp; Oil</t>
  </si>
  <si>
    <t>https://www.amazon.com/gp/your-account/order-details/ref=ppx_yo_dt_b_order_details_o07?ie=UTF8&amp;orderID=112-0817565-6673035</t>
  </si>
  <si>
    <t>Knife Sharpeners for Kitchen Knivesâ€“ Stainless Steel 4 in1 Kitchen Knife Sharpener â€“ Ergonomic and Easy to Use Knife Sharpening Kit with 4 Stage Sharpening Slots Black</t>
  </si>
  <si>
    <t>Home &amp; Kitchen-Kitchen &amp; Dining-Kitchen Utensils &amp; Gadgets-Knife Sharpeners</t>
  </si>
  <si>
    <t>https://www.amazon.com/gp/your-account/order-details/ref=ppx_yo_dt_b_order_details_o08?ie=UTF8&amp;orderID=113-6764151-1257852</t>
  </si>
  <si>
    <t>WORKPRO Oscillating Multi-Tool Kit, 3.0 Amp Corded Quick-Lock Replaceable Oscillating Saw with 7 Variable Speed, 3Â° Oscillation Angle, 17pcs Saw Accessories, and Carrying Bag</t>
  </si>
  <si>
    <t>Tools &amp; Home Improvement-Power &amp; Hand Tools-Power Tools-Oscillating Tools</t>
  </si>
  <si>
    <t>WJA Men's Road-Running-Shoes Walking Fashion Athletic Sneakers Comfort Lightweight Working Gym Mesh Shoes. Yellow</t>
  </si>
  <si>
    <t>Clothing, Shoes &amp; Jewelry-Men-Shoes-Athletic-Walking</t>
  </si>
  <si>
    <t>https://www.amazon.com/gp/your-account/order-details/ref=ppx_yo_dt_b_order_details_o09?ie=UTF8&amp;orderID=113-3831374-9394657</t>
  </si>
  <si>
    <t>WJA Men's Road-Running-Shoes Walking Fashion Athletic Sneakers Comfort Lightweight Working Gym Mesh Shoes. Orange</t>
  </si>
  <si>
    <t>https://www.amazon.com/gp/your-account/order-details/ref=ppx_yo_dt_b_order_details_o00?ie=UTF8&amp;orderID=112-9899665-2114615</t>
  </si>
  <si>
    <t>Cordless Vacuum Cleaner, 45Kpa 550W 65Mins Self-Standing Vacuum Cleaners for Home, Stick Vacuum with Touch Screen, Anti-tangle Brush, Rechargeable Vacuum Cordless for Pet Hair, Carpet, Hardwood Floor</t>
  </si>
  <si>
    <t>Home &amp; Kitchen-Vacuums &amp; Floor Care-Vacuums-Stick Vacuums &amp; Electric Brooms</t>
  </si>
  <si>
    <t>Razab 10 Cups/ 80 Oz 4 Pc (Set of 2) Glass Food Storage Containers with Airtight Locking Lids-For Storing &amp; Serving Food. BPA Free &amp; Leak Proof - Microwave, Dishwasher, Fridge, Freezer and Oven Safe</t>
  </si>
  <si>
    <t>Home &amp; Kitchen-Kitchen &amp; Dining-Storage &amp; Organization-Food Storage-Food Containers-Container Sets</t>
  </si>
  <si>
    <t>https://www.amazon.com/gp/your-account/order-details/ref=ppx_yo_dt_b_order_details_o01?ie=UTF8&amp;orderID=112-0166864-5422643</t>
  </si>
  <si>
    <t>1Zero for Magsafe CD Phone Holder for Car [20 N55 Ultra Strong Magnets] Magnetic CD Player Phone Mount, Stable CD Slot Phone Mount for iPhone 16 15 14 13 12 Mini Pro Pro Max Plus &amp; Magsafe Case</t>
  </si>
  <si>
    <t>Cell Phones &amp; Accessories-Accessories-Automobile Accessories-Cradles</t>
  </si>
  <si>
    <t>https://www.amazon.com/gp/your-account/order-details/ref=ppx_yo_dt_b_order_details_o02?ie=UTF8&amp;orderID=113-9772645-2069850</t>
  </si>
  <si>
    <t>Keto Vitals Keto Electrolytes Powder | Keto-Friendly Electrolytes with Potassium, Magnesium, Sodium, Calcium | Electrolytes Sugar Free | Supplement Energy Drink Mix | Zero Calories, Zero Carbs</t>
  </si>
  <si>
    <t>https://www.amazon.com/gp/your-account/order-details/ref=ppx_yo_dt_b_order_details_o03?ie=UTF8&amp;orderID=113-0661951-6558638</t>
  </si>
  <si>
    <t>ChefAide 5 Pieces Silicone Spatula Set, Food Grade Rubber Spatula, Upgrade Strong Handle with Ergonomic Grip, Heat Resistant Up to 600Â°F for Nonstick Cookware, Cooking Black</t>
  </si>
  <si>
    <t>Home &amp; Kitchen-Kitchen &amp; Dining-Kitchen Utensils &amp; Gadgets-Cooking Utensils-Spatulas</t>
  </si>
  <si>
    <t>https://www.amazon.com/gp/your-account/order-details/ref=ppx_yo_dt_b_order_details_o04?ie=UTF8&amp;orderID=111-0325672-3289043</t>
  </si>
  <si>
    <t>https://www.amazon.com/gp/your-account/order-details/ref=ppx_yo_dt_b_order_details_o05?ie=UTF8&amp;orderID=113-1582013-5701821</t>
  </si>
  <si>
    <t>Kaistyle for Magsafe Car Mountã€20 Strong Magnetsã€‘Magnetic Phone Holder for Car Phone Holder Mount Dashã€360Â°ã€‘Cell Phone Holders for Your Car Accessories for Women Men iPhone 16 Pro Max 15 14 13 12 Plus</t>
  </si>
  <si>
    <t>https://www.amazon.com/gp/your-account/order-details/ref=ppx_yo_dt_b_order_details_o06?ie=UTF8&amp;orderID=113-5329708-0744241</t>
  </si>
  <si>
    <t>2Pack 4 in 1 USB C Cable for Lightning Cable, 60W Dual USB C Cable 6FT Flat Braided Fast Charging Cord with L/Type C/USB A Multi Ports for iPhone 16 15 14 Pro Max Plus/i-Pad/Samsung/MacBook</t>
  </si>
  <si>
    <t>Electronics-Computers &amp; Accessories-Computer Accessories &amp; Peripherals-Cables &amp; Accessories-Cables &amp; Interconnects-USB Cables</t>
  </si>
  <si>
    <t>https://www.amazon.com/gp/your-account/order-details/ref=ppx_yo_dt_b_order_details_o07?ie=UTF8&amp;orderID=113-4760385-0227456</t>
  </si>
  <si>
    <t>Amazon eGift Card - Amazon Logo (Animated)</t>
  </si>
  <si>
    <t>https://www.amazon.com/gp/your-account/order-details/ref=ppx_yo_dt_b_order_details_o08?ie=UTF8&amp;orderID=113-8056781-6468206</t>
  </si>
  <si>
    <t>Faracent USB Type C Extension Cable (6.6FT/2M), USB 3.1(5gbps) Type C Male to Female Extension Charging &amp; Sync for PSVR2, MacBook Pro/iPad mini, MacBook Air M4/ M3, iPad Pro Dell XPS Surface Book</t>
  </si>
  <si>
    <t>Anker iPhone 16 Charger, 2-Pack 20W Fast USB C Charger Block, for iPhone 16/16 Pro Max/15 Series/iPad Pro and More (Black, 2 Pack &amp; 2 Cable)</t>
  </si>
  <si>
    <t>Electronics-Computers &amp; Accessories-Tablet Accessories-Chargers &amp; Adapters</t>
  </si>
  <si>
    <t>https://www.amazon.com/gp/your-account/order-details/ref=ppx_yo_dt_b_order_details_o09?ie=UTF8&amp;orderID=112-1398095-6798617</t>
  </si>
  <si>
    <t>2 Pack Flip Key Fob Case Shell Replacement 4 Button for Chevy Cruze Equinox Camaro Impala Malibu Sonic Buick Regal Verano Encore Lacrosse GMC Terrain 2010 2011 2012 2013 2014 2015 2016 2017 2018 2019</t>
  </si>
  <si>
    <t>Automotive-Interior Accessories-Key Shells</t>
  </si>
  <si>
    <t>https://www.amazon.com/gp/your-account/order-details/ref=ppx_yo_dt_b_order_details_o00?ie=UTF8&amp;orderID=113-1978713-1768219</t>
  </si>
  <si>
    <t>HAIARA for Magsafe Battery Pack, 10000mAh Magnetic Portable Charger with USB C Cable 20W PD Fast Charging, Slim &amp; Lightweight Wireless Power Bank for iPhone 16/15/14/13/12 Series</t>
  </si>
  <si>
    <t>Cell Phones &amp; Accessories-Accessories-Chargers &amp; Power Adapters-Portable Power Banks</t>
  </si>
  <si>
    <t>https://www.amazon.com/gp/your-account/order-details/ref=ppx_yo_dt_b_order_details_o01?ie=UTF8&amp;orderID=112-4379070-1829850</t>
  </si>
  <si>
    <t>Natures-Star Peppermint Essential Oil, 4 Pack 16oz Each, 64oz Bulk, Therapeutic Grade Peppermint Essential Oil for Aromatherapy, Soap Making, Candles, Diffuser</t>
  </si>
  <si>
    <t>Health &amp; Household-Health Care-Alternative Medicine-Aromatherapy-Carrier &amp; Essential Oils-Essential Oil Singles</t>
  </si>
  <si>
    <t>https://www.amazon.com/gp/your-account/order-details/ref=ppx_yo_dt_b_order_details_o02?ie=UTF8&amp;orderID=112-4945335-7770646</t>
  </si>
  <si>
    <t>tomtoc Travel Backpack 40L, TSA Friendly Flight Approved Carry-on Luggage Hand Water-resistant Lightweight Business Rucksack, Durable Large Weekender Bag Daypack Fits 17.3 Inch Laptop, PFAS Free</t>
  </si>
  <si>
    <t>Electronics-Computers &amp; Accessories-Laptop Accessories-Bags, Cases &amp; Sleeves-Backpacks</t>
  </si>
  <si>
    <t>https://www.amazon.com/gp/your-account/order-details/ref=ppx_yo_dt_b_order_details_o03?ie=UTF8&amp;orderID=112-9391278-7063423</t>
  </si>
  <si>
    <t>CLOROX Concentrated Bleach Powder, 21.1 oz</t>
  </si>
  <si>
    <t>Health &amp; Household-Household Supplies-Laundry-Bleach</t>
  </si>
  <si>
    <t>https://www.amazon.com/gp/your-account/order-details/ref=ppx_yo_dt_b_order_details_o04?ie=UTF8&amp;orderID=112-0001864-0047419</t>
  </si>
  <si>
    <t>Sharpie Permanent Markers, Chisel Tip, Black, 4 Count</t>
  </si>
  <si>
    <t>Office Products-Office &amp; School Supplies-Writing &amp; Correction Supplies-Markers &amp; Highlighters-Permanent Markers</t>
  </si>
  <si>
    <t>Uineko Plastic Spray Bottle (4 Pack, 24 Oz, All-Purpose) Heavy Duty Spraying Bottles Leak Proof Mist Empty Water Bottle for Cleaning Solution Planting Pet with Adjustable Nozzle and Measurements</t>
  </si>
  <si>
    <t>Industrial &amp; Scientific-Janitorial &amp; Sanitation Supplies-Cleaning Chemicals-Cleaning Supply Dispensers</t>
  </si>
  <si>
    <t>https://www.amazon.com/gp/your-account/order-details/ref=ppx_yo_dt_b_order_details_o05?ie=UTF8&amp;orderID=112-9991503-6142662</t>
  </si>
  <si>
    <t>Chicco Corso Flex Convertible Stroller - Legend | Black</t>
  </si>
  <si>
    <t>Baby Products-Strollers &amp; Accessories-Strollers-Standard</t>
  </si>
  <si>
    <t>https://www.amazon.com/gp/your-account/order-details/ref=ppx_yo_dt_b_order_details_o06?ie=UTF8&amp;orderID=113-5014656-0945069</t>
  </si>
  <si>
    <t>Eventronic 14 Pack Replacement Spool for Greenworks Weed Eater, 0.065" 18ft Dual Line String Trimmer Line Spool(2900719) Compatible with Greenworks Cordless Trimmer(12 Line Spools+2 Cap)</t>
  </si>
  <si>
    <t>Patio, Lawn &amp; Garden-Outdoor Power Tools-Replacement Parts &amp; Accessories-String Trimmer Parts &amp; Accessories-Lines &amp; Spools</t>
  </si>
  <si>
    <t>https://www.amazon.com/gp/your-account/order-details/ref=ppx_yo_dt_b_order_details_o07?ie=UTF8&amp;orderID=112-5202492-4715426</t>
  </si>
  <si>
    <t>Amazon eGift Card - Lovely Lace (Animated)</t>
  </si>
  <si>
    <t>https://www.amazon.com/gp/your-account/order-details/ref=ppx_yo_dt_b_order_details_o08?ie=UTF8&amp;orderID=112-8168457-8019417</t>
  </si>
  <si>
    <t>HUANUO Dual Monitor Stand - Full Adjustable Monitor Desk Mount Swivel Vesa Bracket with C Clamp, Grommet Mounting Base for 13 to 32 Inch Computer Screens - Each Arm Holds 4.4 to 19.8lbs</t>
  </si>
  <si>
    <t>Electronics-Computers &amp; Accessories-Computer Accessories &amp; Peripherals-Monitor Accessories-Monitor Arms</t>
  </si>
  <si>
    <t>https://www.amazon.com/gp/your-account/order-details/ref=ppx_yo_dt_b_order_details_o09?ie=UTF8&amp;orderID=113-2781589-9661027</t>
  </si>
  <si>
    <t>Cloud Soles for Men and Women Men's Comfortble Shoe Steppers Insoles Sole Inserts Memory Foam Insoles for Women (US-Men-6.5-11)</t>
  </si>
  <si>
    <t>Health &amp; Household-Health Care-Foot Health-Inserts &amp; Insoles-Insoles</t>
  </si>
  <si>
    <t>https://www.amazon.com/gp/your-account/order-details/ref=ppx_yo_dt_b_order_details_o00?ie=UTF8&amp;orderID=113-5181686-3420206</t>
  </si>
  <si>
    <t>2 Packs Donald Trump 2024 Bill Credit Card Sticker, Debit Card Skin Cover, Credit Card Skin Cover - Stylish Card Stickers for Debit Cards and Credit Cards - Credit Card Cover (Donald Trump 2024-02)</t>
  </si>
  <si>
    <t>Office Products-Office &amp; School Supplies-Desk Accessories &amp; Workspace Organizers-Business Card Holders</t>
  </si>
  <si>
    <t>https://www.amazon.com/gp/your-account/order-details/ref=ppx_yo_dt_b_order_details_o01?ie=UTF8&amp;orderID=113-2729560-1173024</t>
  </si>
  <si>
    <t>Gorilla Super Glue, Clear Glue, Four 3 Gram Tubes (Pack of 1) - All Purpose and Fast Setting for Projects and Repairs</t>
  </si>
  <si>
    <t>Industrial &amp; Scientific-Adhesives, Sealants &amp; Lubricants-Cyanoacrylate Adhesives</t>
  </si>
  <si>
    <t>Valleycomfy Microfiber Leather Steering Wheel Cover Universal 15 inch (Black)</t>
  </si>
  <si>
    <t>Automotive-Interior Accessories-Steering Wheels &amp; Accessories-Steering Accessories</t>
  </si>
  <si>
    <t>https://www.amazon.com/gp/your-account/order-details/ref=ppx_yo_dt_b_order_details_o02?ie=UTF8&amp;orderID=113-0979562-7545068</t>
  </si>
  <si>
    <t>Skullcandy Method 360 ANC Wireless Earbuds, Sound by Bose, Bluetooth Headphones, Premium Noise Cancelling, Up to 40 Hrs Battery, Sweat and Water Resistant, Microphone for iPhone Android - Plasma</t>
  </si>
  <si>
    <t>Electronics-Headphones, Earbuds &amp; Accessories-Headphones &amp; Earbuds-Earbud Headphones</t>
  </si>
  <si>
    <t>https://www.amazon.com/gp/your-account/order-details/ref=ppx_yo_dt_b_order_details_o03?ie=UTF8&amp;orderID=112-4731087-4519432</t>
  </si>
  <si>
    <t>Sock Amazing Bamboo Rayon Socks Black Crew Socks Men Women 8 Pack Dress Sock</t>
  </si>
  <si>
    <t>Clothing, Shoes &amp; Jewelry-Men-Clothing-Socks &amp; Hosiery-Socks-Calf Socks</t>
  </si>
  <si>
    <t>https://www.amazon.com/gp/your-account/order-details/ref=ppx_yo_dt_b_order_details_o04?ie=UTF8&amp;orderID=112-6309037-1777064</t>
  </si>
  <si>
    <t>Washing Machine Cleaner Descaler 24 Pack - Deep Cleaning Tablets For HE Front Loader &amp; Top Load Washer, Septic Safe Eco-Friendly Deodorizer, Clean Inside Drum and Laundry Tub Seal - 12 Month Supply</t>
  </si>
  <si>
    <t>Health &amp; Household-Household Supplies-Laundry-Washing Machine Cleaners</t>
  </si>
  <si>
    <t>https://www.amazon.com/gp/your-account/order-details/ref=ppx_yo_dt_b_order_details_o05?ie=UTF8&amp;orderID=112-2141994-0717840</t>
  </si>
  <si>
    <t>Logitech Signature M550 L Full Size Wireless Mouse - for Large Sized Hands, 2-Year Battery, Silent Clicks, Bluetooth, Multi-Device Compatibility - Black</t>
  </si>
  <si>
    <t>Electronics-Computers &amp; Accessories-Computer Accessories &amp; Peripherals-Keyboards, Mice &amp; Accessories-Mice</t>
  </si>
  <si>
    <t>https://www.amazon.com/gp/your-account/order-details/ref=ppx_yo_dt_b_order_details_o06?ie=UTF8&amp;orderID=112-9945399-6297816</t>
  </si>
  <si>
    <t>Hair Dryer, 160000 RPM Professional High Speed Ionic Blow Dryer 500 Million Negative Ions &amp; Heat-Control &amp; Low Noise Hairdryer with Magnetic Diffuser for Faster Drying All Hair Types, No Heat Damage</t>
  </si>
  <si>
    <t>Beauty &amp; Personal Care-Hair Care-Styling Tools &amp; Appliances-Hair Dryers &amp; Accessories-Hair Dryers</t>
  </si>
  <si>
    <t>https://www.amazon.com/gp/your-account/order-details/ref=ppx_yo_dt_b_order_details_o07?ie=UTF8&amp;orderID=113-8483464-9853047</t>
  </si>
  <si>
    <t>hansang G25 LED Globe Light Bulbs, Bathroom Vanity Light Bulbs E26 Base Warm White 2700K for Bedroom Makeup Mirror Lights, 60W Equivalent(5W), 500LM Non-dimmable,4Pack</t>
  </si>
  <si>
    <t>Tools &amp; Home Improvement-Light Bulbs-LED Bulbs</t>
  </si>
  <si>
    <t>https://www.amazon.com/gp/your-account/order-details/ref=ppx_yo_dt_b_order_details_o08?ie=UTF8&amp;orderID=113-1872997-9895450</t>
  </si>
  <si>
    <t>NusaPure Beet Root 8,000mg per Caps (Vegan, Non-GMO, Extract 20:1, Vegan) Black Pepper - 200 Veggie caps</t>
  </si>
  <si>
    <t>Health &amp; Household-Vitamins, Minerals &amp; Supplements-Blended Vitamin &amp; Mineral Supplements</t>
  </si>
  <si>
    <t>https://www.amazon.com/gp/your-account/order-details/ref=ppx_yo_dt_b_order_details_o09?ie=UTF8&amp;orderID=111-6161861-3367461</t>
  </si>
  <si>
    <t>Hi-Lyte Electrolytes Powder, Pink Lemonade Daily Hydration Supplement Drink Mix, 90 Servings | Sugar-Free, 0 Calories, 0 Carbs | No Maltodextrin. Gluten-Free | Supports Keto | Light Refreshing Flavor</t>
  </si>
  <si>
    <t>Health &amp; Household-Diet &amp; Sports Nutrition-Endurance &amp; Energy-Powders</t>
  </si>
  <si>
    <t>https://www.amazon.com/gp/your-account/order-details/ref=ppx_yo_dt_b_order_details_o00?ie=UTF8&amp;orderID=113-8806597-8459462</t>
  </si>
  <si>
    <t>LEVOIT Air Purifiers for Home Large Room Up to 1800 FtÂ² in 1 Hr with Washable Pre-Filter, Air Quality Monitor, Smart WiFi, HEPA Sleep Mode for Allergies, Pet Hair in Bedroom, Vital 200S-P, White</t>
  </si>
  <si>
    <t>Home &amp; Kitchen-Heating, Cooling &amp; Air Quality-Air Purifiers-HEPA Air Purifiers</t>
  </si>
  <si>
    <t>Vital 200S Pet Care Replacement Filter for LEVOIT Vital 200S and Vital 200S-P Air Purifier, H13 True HEPA and Activated Carbon Filter, Vital 200S-RF-PA, 2 Pack, Yellow</t>
  </si>
  <si>
    <t>Home &amp; Kitchen-Heating, Cooling &amp; Air Quality-Parts &amp; Accessories-Air Purifier Parts &amp; Accessories-Air Purifier Filters</t>
  </si>
  <si>
    <t>https://www.amazon.com/gp/your-account/order-details/ref=ppx_yo_dt_b_order_details_o01?ie=UTF8&amp;orderID=112-4571395-6034635</t>
  </si>
  <si>
    <t>JOYWISE Bluetooth Headphones, Wireless Earbuds IPX7 Waterproof Bluetooth 5.3 Headphones with 16Hrs Playtime Stereo Bass Headsets with Mic Running Headsets with Earhooks for Sports Running Workout</t>
  </si>
  <si>
    <t>https://www.amazon.com/gp/your-account/order-details/ref=ppx_yo_dt_b_order_details_o02?ie=UTF8&amp;orderID=113-3270054-7389867</t>
  </si>
  <si>
    <t>Chicken Wire 13.7 in x 236 in Poultry Wire Netting Hexagonal Galvanized Mesh Garden Fence Barrier for Craft Projects, Pet Rabbit Chicken Fencing</t>
  </si>
  <si>
    <t>Patio, Lawn &amp; Garden-Farm &amp; Ranch-Structures &amp; Hardware-Agricultural Fencing</t>
  </si>
  <si>
    <t>https://www.amazon.com/gp/your-account/order-details/ref=ppx_yo_dt_b_order_details_o03?ie=UTF8&amp;orderID=112-7987801-6854606</t>
  </si>
  <si>
    <t>CushZone Seat Cushion, Office Chair Cushions, Car Seat Cushion, Non-Slip Sciatica &amp; Back Coccyx Tailbone Pain Relief Chair Pad, Memory Foam Pillow for Computer Desk, Wheelchair, Driving(Black)</t>
  </si>
  <si>
    <t>Baby Products-Car Seats &amp; Accessories-Accessories-Cushions</t>
  </si>
  <si>
    <t>https://www.amazon.com/gp/your-account/order-details/ref=ppx_yo_dt_b_order_details_o04?ie=UTF8&amp;orderID=114-6558268-9005847</t>
  </si>
  <si>
    <t>Hi-Lyte Lemonade Electrolyte Powder, Daily Hydration Supplement Drink Mix, 90 Servings | Sugar-Free, 0 Calories, 0 Carbs | No Maltodextrin. Gluten-Free | Supports Keto | Light Refreshing Flavor</t>
  </si>
  <si>
    <t>https://www.amazon.com/gp/your-account/order-details/ref=ppx_yo_dt_b_order_details_o05?ie=UTF8&amp;orderID=113-6980953-1976207</t>
  </si>
  <si>
    <t>Dove Beauty Bar Gentle Skin Cleanser Moisturizing for Gentle Soft Skin Care Original Made With 1/4 Moisturizing Cream 3.75 oz, 14 Bars</t>
  </si>
  <si>
    <t>Beauty &amp; Personal Care-Skin Care-Body-Cleansers-Soaps</t>
  </si>
  <si>
    <t>https://www.amazon.com/gp/your-account/order-details/ref=ppx_yo_dt_b_order_details_o06?ie=UTF8&amp;orderID=112-2897058-7425062</t>
  </si>
  <si>
    <t>https://www.amazon.com/gp/your-account/order-details/ref=ppx_yo_dt_b_order_details_o07?ie=UTF8&amp;orderID=112-6000210-9098658</t>
  </si>
  <si>
    <t>SAMSUNG 870 QVO SATA III SSD 8TB 2.5" Internal Solid State Drive, Upgrade Desktop PC or Laptop Memory and Storage for IT Pros, Creators, Everyday Users, MZ-77Q8T0B</t>
  </si>
  <si>
    <t>Electronics-Computers &amp; Accessories-Data Storage-Internal Solid State Drives</t>
  </si>
  <si>
    <t>Airversa Essential Oil Diffuser Waterless Aromatherapy Diffusers for Home Large Room, Bedroom, Car, Office, Desk, Battery Operated, Small Diffuser for Pure Scent, 100mL Capacity, AN9 (Black)</t>
  </si>
  <si>
    <t>Health &amp; Household-Health Care-Alternative Medicine-Aromatherapy-Diffusers</t>
  </si>
  <si>
    <t>Airversa 100ml Peppermint Oil, for Aromatherapy, Diffuser, 100% Pure Natural, Includes Premium Quality Glass Dropper - 3.38 Fl Oz</t>
  </si>
  <si>
    <t>https://www.amazon.com/gp/your-account/order-details/ref=ppx_yo_dt_b_order_details_o08?ie=UTF8&amp;orderID=112-1163730-7345846</t>
  </si>
  <si>
    <t>https://www.amazon.com/gp/your-account/order-details/ref=ppx_yo_dt_b_order_details_o09?ie=UTF8&amp;orderID=113-3841821-4863425</t>
  </si>
  <si>
    <t>Hi-Lyte Pro Hydration Packets - 15 Individual Drink Packets | Variety Pack | Flavored Electrolyte Powder | Sugar-Free, Zero Carb, Zero Calorie</t>
  </si>
  <si>
    <t>https://www.amazon.com/gp/your-account/order-details/ref=ppx_yo_dt_b_order_details_o00?ie=UTF8&amp;orderID=113-0704719-5935408</t>
  </si>
  <si>
    <t>ECLIPSE Winterfrost Sugar Free Chewing Gum, Bulk Pack, 180 Piece Bag</t>
  </si>
  <si>
    <t>Grocery &amp; Gourmet Food-Snacks &amp; Sweets-Candy &amp; Chocolate-Chewing &amp; Bubble Gum</t>
  </si>
  <si>
    <t>https://www.amazon.com/gp/your-account/order-details/ref=ppx_yo_dt_b_order_details_o01?ie=UTF8&amp;orderID=111-3156756-7621811</t>
  </si>
  <si>
    <t>Hi-Lyte Raspberry Electrolyte Powder, Daily Hydration Supplement Drink Mix, 90 Servings | Sugar-Free, 0 Calories, 0 Carbs | No Maltodextrin. Gluten-Free | Supports Keto | Light Refreshing Flavor</t>
  </si>
  <si>
    <t>https://www.amazon.com/gp/your-account/order-details/ref=ppx_yo_dt_b_order_details_o02?ie=UTF8&amp;orderID=112-6695320-6885857</t>
  </si>
  <si>
    <t>https://www.amazon.com/gp/your-account/order-details/ref=ppx_yo_dt_b_order_details_o03?ie=UTF8&amp;orderID=113-1384189-0704224</t>
  </si>
  <si>
    <t>Hotec Stainless Steel Kitchen Tongs Set of 2 - 9" and 12", Locking Metal Food Tongs Non-Slip Grip</t>
  </si>
  <si>
    <t>Patio, Lawn &amp; Garden-Grills &amp; Outdoor Cooking-Outdoor Cooking Tools &amp; Accessories-Grilling &amp; Barbecue Utensils-Barbecue Tongs</t>
  </si>
  <si>
    <t>https://www.amazon.com/gp/your-account/order-details/ref=ppx_yo_dt_b_order_details_o04?ie=UTF8&amp;orderID=112-2347135-4397065</t>
  </si>
  <si>
    <t>Hemorrwedge Hemorrhoid Treatment Ice Pack - Gel Freeze Pack, Pair with Caseâ€¦</t>
  </si>
  <si>
    <t>Health &amp; Household-Health Care-Over-the-Counter Medication-Pain Relievers-Hemorrhoid Care</t>
  </si>
  <si>
    <t>https://www.amazon.com/gp/your-account/order-details/ref=ppx_yo_dt_b_order_details_o05?ie=UTF8&amp;orderID=113-0089487-7690673</t>
  </si>
  <si>
    <t>WANHONGYUE Kawaii Kuromi Pajamas for Women Girls Sleepwear Loungewear Short Sleeve Shirt with Shorts 2 Piece Pajama Sets Black M</t>
  </si>
  <si>
    <t>Clothing, Shoes &amp; Jewelry-Women-Clothing-Lingerie, Sleep &amp; Lounge-Sleep &amp; Lounge-Sets</t>
  </si>
  <si>
    <t>https://www.amazon.com/gp/your-account/order-details/ref=ppx_yo_dt_b_order_details_o06?ie=UTF8&amp;orderID=113-4238684-2760239</t>
  </si>
  <si>
    <t>Melania (Large Print Edition)</t>
  </si>
  <si>
    <t>Books-Biographies &amp; Memoirs-Leaders &amp; Notable People-Presidents &amp; Heads of State-U.S. Presidents</t>
  </si>
  <si>
    <t>Terror Trips</t>
  </si>
  <si>
    <t>Books-Children's Books-Science Fiction &amp; Fantasy-Spine-Chilling Horror</t>
  </si>
  <si>
    <t>Scary Summer (Goosebumps Graphix, No. 3)</t>
  </si>
  <si>
    <t>Bunnicula: The Graphic Novel (Bunnicula and Friends)</t>
  </si>
  <si>
    <t>Books-Children's Books-Animals-Pets</t>
  </si>
  <si>
    <t>https://www.amazon.com/gp/your-account/order-details/ref=ppx_yo_dt_b_order_details_o07?ie=UTF8&amp;orderID=112-7495320-1313005</t>
  </si>
  <si>
    <t>Naticura Hem-Control - Fast Effective Hemorrhoid Treatment Supplement - Powerful Formula to Promote Symptom Relief, Shrinking of Hemorrhoids, Ease Discomfort - 180 Vegan Capsules - Made in USA</t>
  </si>
  <si>
    <t>https://www.amazon.com/gp/your-account/order-details/ref=ppx_yo_dt_b_order_details_o08?ie=UTF8&amp;orderID=112-0092730-2710622</t>
  </si>
  <si>
    <t>GasDoc DS-100 Portable Carbon Monoxide Detector, 140HR Standby, Rechargeable 3-in-1 CO Detector for Travel &amp; Camping, CO Meter with Audible &amp; Visual Alarm for Home, Car &amp; Tent - Dark Forest</t>
  </si>
  <si>
    <t>Tools &amp; Home Improvement-Safety &amp; Security-Fire Safety-Carbon Monoxide Detectors</t>
  </si>
  <si>
    <t>Moquin Round Ball Style Passage Door Knob, No Lock Interior Door Knob, Keyless Doorknob for Hall Closet Pantry, Matte Black Finish</t>
  </si>
  <si>
    <t>Tools &amp; Home Improvement-Hardware-Door Hardware &amp; Locks-Door Knobs</t>
  </si>
  <si>
    <t>https://www.amazon.com/gp/your-account/order-details/ref=ppx_yo_dt_b_order_details_o09?ie=UTF8&amp;orderID=112-4396145-5772239</t>
  </si>
  <si>
    <t>Aolamegs 50 Cal Metal Ammo Can Lock Kit-Lockable Ammunition Boxes With Welded Locking&amp;Padlock Kit 50 Caliber Army Military Storage Containers M2A1 Large Waterproof Air Tight Locking Ammo Box Storage</t>
  </si>
  <si>
    <t>Hunting &amp; Fishing-Shooting-Gun Accessories, Maintenance &amp; Storage-Gun &amp; Ammunition Storage &amp; Safes-Ammunition &amp; Magazine Boxes, Cans &amp; Cases</t>
  </si>
  <si>
    <t>https://www.amazon.com/gp/your-account/order-details/ref=ppx_yo_dt_b_order_details_o00?ie=UTF8&amp;orderID=112-3822836-8770629</t>
  </si>
  <si>
    <t>Zippo Lighter Fluid, 12-Ounces, 3-Pack</t>
  </si>
  <si>
    <t>Health &amp; Household-Household Supplies-Lighters &amp; Matches-Lighter Fluid</t>
  </si>
  <si>
    <t>https://www.amazon.com/gp/your-account/order-details/ref=ppx_yo_dt_b_order_details_o01?ie=UTF8&amp;orderID=113-9002812-4159460</t>
  </si>
  <si>
    <t>Irish Spring Bar Soap for Men, Original Clean, Smell Fresh and Clean for 12 Hours, Men Soap Bars for Washing Hands and Body, Mild for Skin, Recyclable Carton, 3.7 Ounce - 3 Count (Pack of 8)</t>
  </si>
  <si>
    <t>Nutricost L-Theanine 200mg, 240 Capsules - Double Strength</t>
  </si>
  <si>
    <t>Health &amp; Household-Vitamins, Minerals &amp; Supplements-Amino Acids</t>
  </si>
  <si>
    <t>Rest in Peace Night Guard - Pack of Two Moldable Mouth Guard for Teeth Grinding Clenching Bruxism (Blue)</t>
  </si>
  <si>
    <t>Health &amp; Household-Oral Care-Teeth Grinding Guards</t>
  </si>
  <si>
    <t>HemRid Max - Fast Hemorrhoid Relief. Get The Hemorrhoid Pills That Actually Work. Works in Just 2-5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</si>
</sst>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5" fontId="0" fillId="0" borderId="0" xfId="0" applyNumberFormat="1"/>
    <xf numFmtId="8" fontId="0" fillId="0" borderId="0" xfId="0" applyNumberFormat="1"/>
    <xf numFmtId="0" fontId="0" fillId="33" borderId="0" xfId="0" applyFill="1"/>
    <xf numFmtId="15" fontId="0" fillId="33" borderId="0" xfId="0" applyNumberFormat="1" applyFill="1"/>
    <xf numFmtId="8" fontId="0" fillId="33" borderId="0" xfId="0" applyNumberFormat="1" applyFill="1"/>
    <xf numFmtId="0" fontId="0" fillId="34" borderId="0" xfId="0" applyFill="1" applyBorder="1"/>
    <xf numFmtId="0" fontId="0" fillId="34" borderId="10" xfId="0" applyFill="1" applyBorder="1"/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BF15-CFB2-46DD-BCEA-9B64D17481A6}">
  <dimension ref="A1:Q92"/>
  <sheetViews>
    <sheetView tabSelected="1" workbookViewId="0">
      <selection activeCell="O7" sqref="O7"/>
    </sheetView>
  </sheetViews>
  <sheetFormatPr defaultRowHeight="14.5" x14ac:dyDescent="0.35"/>
  <cols>
    <col min="3" max="3" width="46" customWidth="1"/>
    <col min="8" max="14" width="3.36328125" customWidth="1"/>
  </cols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7" x14ac:dyDescent="0.35">
      <c r="A2" s="3" t="s">
        <v>21</v>
      </c>
      <c r="B2" s="4">
        <v>45899</v>
      </c>
      <c r="C2" s="3" t="s">
        <v>22</v>
      </c>
      <c r="D2" s="5">
        <v>9.99</v>
      </c>
      <c r="E2" s="3">
        <v>1</v>
      </c>
      <c r="F2" s="3">
        <v>9.99</v>
      </c>
      <c r="G2" s="3" t="s">
        <v>23</v>
      </c>
      <c r="O2" s="6">
        <v>787</v>
      </c>
    </row>
    <row r="3" spans="1:17" x14ac:dyDescent="0.35">
      <c r="A3" s="3" t="s">
        <v>21</v>
      </c>
      <c r="B3" s="4">
        <v>45899</v>
      </c>
      <c r="C3" s="3" t="s">
        <v>24</v>
      </c>
      <c r="D3" s="5">
        <v>8.0399999999999991</v>
      </c>
      <c r="E3" s="3">
        <v>2</v>
      </c>
      <c r="F3" s="3">
        <v>16.079999999999998</v>
      </c>
      <c r="G3" s="3" t="s">
        <v>25</v>
      </c>
      <c r="O3" s="6">
        <v>788</v>
      </c>
    </row>
    <row r="4" spans="1:17" x14ac:dyDescent="0.35">
      <c r="A4" s="3" t="s">
        <v>21</v>
      </c>
      <c r="B4" s="4">
        <v>45899</v>
      </c>
      <c r="C4" s="3" t="s">
        <v>26</v>
      </c>
      <c r="D4" s="5">
        <v>8.68</v>
      </c>
      <c r="E4" s="3">
        <v>2</v>
      </c>
      <c r="F4" s="3">
        <v>17.36</v>
      </c>
      <c r="G4" s="3" t="s">
        <v>27</v>
      </c>
      <c r="O4" s="6">
        <f>SUM(O2:O3)</f>
        <v>1575</v>
      </c>
    </row>
    <row r="5" spans="1:17" x14ac:dyDescent="0.35">
      <c r="A5" s="3" t="s">
        <v>38</v>
      </c>
      <c r="B5" s="4">
        <v>45892</v>
      </c>
      <c r="C5" s="3" t="s">
        <v>39</v>
      </c>
      <c r="D5" s="5">
        <v>29.74</v>
      </c>
      <c r="E5" s="3">
        <v>1</v>
      </c>
      <c r="F5" s="3">
        <v>29.74</v>
      </c>
      <c r="G5" s="3" t="s">
        <v>40</v>
      </c>
      <c r="O5" s="7">
        <f>O4/3</f>
        <v>525</v>
      </c>
    </row>
    <row r="6" spans="1:17" x14ac:dyDescent="0.35">
      <c r="A6" s="3" t="s">
        <v>48</v>
      </c>
      <c r="B6" s="4">
        <v>45872</v>
      </c>
      <c r="C6" s="3" t="s">
        <v>49</v>
      </c>
      <c r="D6" s="5">
        <v>25</v>
      </c>
      <c r="E6" s="3">
        <v>1</v>
      </c>
      <c r="F6" s="3">
        <v>25</v>
      </c>
      <c r="G6" s="3" t="s">
        <v>50</v>
      </c>
      <c r="O6" s="8">
        <f>O5*4</f>
        <v>2100</v>
      </c>
    </row>
    <row r="7" spans="1:17" x14ac:dyDescent="0.35">
      <c r="A7" s="3" t="s">
        <v>64</v>
      </c>
      <c r="B7" s="4">
        <v>45861</v>
      </c>
      <c r="C7" s="3" t="s">
        <v>67</v>
      </c>
      <c r="D7" s="5">
        <v>19.989999999999998</v>
      </c>
      <c r="E7" s="3">
        <v>1</v>
      </c>
      <c r="F7" s="3">
        <v>19.989999999999998</v>
      </c>
      <c r="G7" s="3" t="s">
        <v>68</v>
      </c>
      <c r="O7">
        <f>O6/12</f>
        <v>175</v>
      </c>
    </row>
    <row r="8" spans="1:17" x14ac:dyDescent="0.35">
      <c r="A8" s="3" t="s">
        <v>69</v>
      </c>
      <c r="B8" s="4">
        <v>45861</v>
      </c>
      <c r="C8" s="3" t="s">
        <v>70</v>
      </c>
      <c r="D8" s="5">
        <v>19.989999999999998</v>
      </c>
      <c r="E8" s="3">
        <v>1</v>
      </c>
      <c r="F8" s="3">
        <v>19.989999999999998</v>
      </c>
      <c r="G8" s="3" t="s">
        <v>68</v>
      </c>
      <c r="O8">
        <f>O6+300</f>
        <v>2400</v>
      </c>
      <c r="P8">
        <v>200</v>
      </c>
      <c r="Q8">
        <v>150</v>
      </c>
    </row>
    <row r="9" spans="1:17" x14ac:dyDescent="0.35">
      <c r="A9" s="3" t="s">
        <v>79</v>
      </c>
      <c r="B9" s="4">
        <v>45857</v>
      </c>
      <c r="C9" s="3" t="s">
        <v>80</v>
      </c>
      <c r="D9" s="5">
        <v>28.99</v>
      </c>
      <c r="E9" s="3">
        <v>1</v>
      </c>
      <c r="F9" s="3">
        <v>28.99</v>
      </c>
      <c r="G9" s="3" t="s">
        <v>40</v>
      </c>
      <c r="O9">
        <f>O8/12</f>
        <v>200</v>
      </c>
      <c r="P9">
        <f>P8*12</f>
        <v>2400</v>
      </c>
      <c r="Q9">
        <f>Q8*12</f>
        <v>1800</v>
      </c>
    </row>
    <row r="10" spans="1:17" x14ac:dyDescent="0.35">
      <c r="A10" s="3" t="s">
        <v>102</v>
      </c>
      <c r="B10" s="4">
        <v>45829</v>
      </c>
      <c r="C10" s="3" t="s">
        <v>103</v>
      </c>
      <c r="D10" s="5">
        <v>76.989999999999995</v>
      </c>
      <c r="E10" s="3">
        <v>1</v>
      </c>
      <c r="F10" s="3">
        <v>76.989999999999995</v>
      </c>
      <c r="G10" s="3" t="s">
        <v>104</v>
      </c>
    </row>
    <row r="11" spans="1:17" x14ac:dyDescent="0.35">
      <c r="A11" s="3" t="s">
        <v>108</v>
      </c>
      <c r="B11" s="4">
        <v>45822</v>
      </c>
      <c r="C11" s="3" t="s">
        <v>109</v>
      </c>
      <c r="D11" s="5">
        <v>18.559999999999999</v>
      </c>
      <c r="E11" s="3">
        <v>1</v>
      </c>
      <c r="F11" s="3">
        <v>18.559999999999999</v>
      </c>
      <c r="G11" s="3" t="s">
        <v>110</v>
      </c>
    </row>
    <row r="12" spans="1:17" x14ac:dyDescent="0.35">
      <c r="A12" s="3" t="s">
        <v>127</v>
      </c>
      <c r="B12" s="4">
        <v>45794</v>
      </c>
      <c r="C12" s="3" t="s">
        <v>128</v>
      </c>
      <c r="D12" s="5">
        <v>6.49</v>
      </c>
      <c r="E12" s="3">
        <v>3</v>
      </c>
      <c r="F12" s="3">
        <v>19.47</v>
      </c>
      <c r="G12" s="3" t="s">
        <v>129</v>
      </c>
    </row>
    <row r="13" spans="1:17" x14ac:dyDescent="0.35">
      <c r="A13" s="3" t="s">
        <v>144</v>
      </c>
      <c r="B13" s="4">
        <v>45779</v>
      </c>
      <c r="C13" s="3" t="s">
        <v>145</v>
      </c>
      <c r="D13" s="5">
        <v>15.55</v>
      </c>
      <c r="E13" s="3">
        <v>2</v>
      </c>
      <c r="F13" s="3">
        <v>31.1</v>
      </c>
      <c r="G13" s="3" t="s">
        <v>146</v>
      </c>
    </row>
    <row r="14" spans="1:17" x14ac:dyDescent="0.35">
      <c r="A14" s="3" t="s">
        <v>156</v>
      </c>
      <c r="B14" s="4">
        <v>45759</v>
      </c>
      <c r="C14" s="3" t="s">
        <v>157</v>
      </c>
      <c r="D14" s="5">
        <v>21.11</v>
      </c>
      <c r="E14" s="3">
        <v>2</v>
      </c>
      <c r="F14" s="3">
        <v>42.22</v>
      </c>
      <c r="G14" s="3" t="s">
        <v>158</v>
      </c>
    </row>
    <row r="15" spans="1:17" x14ac:dyDescent="0.35">
      <c r="A15" s="3" t="s">
        <v>159</v>
      </c>
      <c r="B15" s="4">
        <v>45747</v>
      </c>
      <c r="C15" s="3" t="s">
        <v>160</v>
      </c>
      <c r="D15" s="5">
        <v>29.96</v>
      </c>
      <c r="E15" s="3">
        <v>1</v>
      </c>
      <c r="F15" s="3">
        <v>29.96</v>
      </c>
      <c r="G15" s="3" t="s">
        <v>161</v>
      </c>
    </row>
    <row r="16" spans="1:17" x14ac:dyDescent="0.35">
      <c r="A16" s="3" t="s">
        <v>175</v>
      </c>
      <c r="B16" s="4">
        <v>45732</v>
      </c>
      <c r="C16" s="3" t="s">
        <v>176</v>
      </c>
      <c r="D16" s="5">
        <v>29.96</v>
      </c>
      <c r="E16" s="3">
        <v>1</v>
      </c>
      <c r="F16" s="3">
        <v>29.96</v>
      </c>
      <c r="G16" s="3" t="s">
        <v>40</v>
      </c>
    </row>
    <row r="17" spans="1:7" x14ac:dyDescent="0.35">
      <c r="A17" s="3" t="s">
        <v>181</v>
      </c>
      <c r="B17" s="4">
        <v>45720</v>
      </c>
      <c r="C17" s="3" t="s">
        <v>184</v>
      </c>
      <c r="D17" s="5">
        <v>40.770000000000003</v>
      </c>
      <c r="E17" s="3">
        <v>1</v>
      </c>
      <c r="F17" s="3">
        <v>40.770000000000003</v>
      </c>
      <c r="G17" s="3" t="s">
        <v>185</v>
      </c>
    </row>
    <row r="18" spans="1:7" x14ac:dyDescent="0.35">
      <c r="A18" s="3" t="s">
        <v>181</v>
      </c>
      <c r="B18" s="4">
        <v>45720</v>
      </c>
      <c r="C18" s="3" t="s">
        <v>186</v>
      </c>
      <c r="D18" s="5">
        <v>12.22</v>
      </c>
      <c r="E18" s="3">
        <v>1</v>
      </c>
      <c r="F18" s="3">
        <v>12.22</v>
      </c>
      <c r="G18" s="3" t="s">
        <v>104</v>
      </c>
    </row>
    <row r="19" spans="1:7" x14ac:dyDescent="0.35">
      <c r="A19" s="3" t="s">
        <v>187</v>
      </c>
      <c r="B19" s="4">
        <v>45719</v>
      </c>
      <c r="C19" s="3" t="s">
        <v>176</v>
      </c>
      <c r="D19" s="5">
        <v>29.96</v>
      </c>
      <c r="E19" s="3">
        <v>1</v>
      </c>
      <c r="F19" s="3">
        <v>29.96</v>
      </c>
      <c r="G19" s="3" t="s">
        <v>40</v>
      </c>
    </row>
    <row r="20" spans="1:7" x14ac:dyDescent="0.35">
      <c r="A20" s="3" t="s">
        <v>188</v>
      </c>
      <c r="B20" s="4">
        <v>45712</v>
      </c>
      <c r="C20" s="3" t="s">
        <v>189</v>
      </c>
      <c r="D20" s="5">
        <v>15.96</v>
      </c>
      <c r="E20" s="3">
        <v>3</v>
      </c>
      <c r="F20" s="3">
        <v>47.88</v>
      </c>
      <c r="G20" s="3" t="s">
        <v>40</v>
      </c>
    </row>
    <row r="21" spans="1:7" x14ac:dyDescent="0.35">
      <c r="A21" s="3" t="s">
        <v>193</v>
      </c>
      <c r="B21" s="4">
        <v>45704</v>
      </c>
      <c r="C21" s="3" t="s">
        <v>194</v>
      </c>
      <c r="D21" s="5">
        <v>29.96</v>
      </c>
      <c r="E21" s="3">
        <v>1</v>
      </c>
      <c r="F21" s="3">
        <v>29.96</v>
      </c>
      <c r="G21" s="3" t="s">
        <v>161</v>
      </c>
    </row>
    <row r="22" spans="1:7" x14ac:dyDescent="0.35">
      <c r="A22" s="3" t="s">
        <v>195</v>
      </c>
      <c r="B22" s="4">
        <v>45702</v>
      </c>
      <c r="C22" s="3" t="s">
        <v>194</v>
      </c>
      <c r="D22" s="5">
        <v>29.96</v>
      </c>
      <c r="E22" s="3">
        <v>1</v>
      </c>
      <c r="F22" s="3">
        <v>29.96</v>
      </c>
      <c r="G22" s="3" t="s">
        <v>161</v>
      </c>
    </row>
    <row r="23" spans="1:7" x14ac:dyDescent="0.35">
      <c r="A23" s="3" t="s">
        <v>199</v>
      </c>
      <c r="B23" s="4">
        <v>45696</v>
      </c>
      <c r="C23" s="3" t="s">
        <v>200</v>
      </c>
      <c r="D23" s="5">
        <v>12.99</v>
      </c>
      <c r="E23" s="3">
        <v>1</v>
      </c>
      <c r="F23" s="3">
        <v>12.99</v>
      </c>
      <c r="G23" s="3" t="s">
        <v>201</v>
      </c>
    </row>
    <row r="24" spans="1:7" x14ac:dyDescent="0.35">
      <c r="A24" s="3" t="s">
        <v>213</v>
      </c>
      <c r="B24" s="4">
        <v>45681</v>
      </c>
      <c r="C24" s="3" t="s">
        <v>214</v>
      </c>
      <c r="D24" s="5">
        <v>34.950000000000003</v>
      </c>
      <c r="E24" s="3">
        <v>2</v>
      </c>
      <c r="F24" s="3">
        <v>69.900000000000006</v>
      </c>
      <c r="G24" s="3" t="s">
        <v>201</v>
      </c>
    </row>
    <row r="25" spans="1:7" x14ac:dyDescent="0.35">
      <c r="A25" s="3" t="s">
        <v>223</v>
      </c>
      <c r="B25" s="4">
        <v>45665</v>
      </c>
      <c r="C25" s="3" t="s">
        <v>224</v>
      </c>
      <c r="D25" s="5">
        <v>15.99</v>
      </c>
      <c r="E25" s="3">
        <v>1</v>
      </c>
      <c r="F25" s="3">
        <v>15.99</v>
      </c>
      <c r="G25" s="3" t="s">
        <v>225</v>
      </c>
    </row>
    <row r="26" spans="1:7" x14ac:dyDescent="0.35">
      <c r="A26" s="3" t="s">
        <v>226</v>
      </c>
      <c r="B26" s="4">
        <v>45661</v>
      </c>
      <c r="C26" s="3" t="s">
        <v>228</v>
      </c>
      <c r="D26" s="5">
        <v>19.95</v>
      </c>
      <c r="E26" s="3">
        <v>1</v>
      </c>
      <c r="F26" s="3">
        <v>19.95</v>
      </c>
      <c r="G26" s="3" t="s">
        <v>229</v>
      </c>
    </row>
    <row r="27" spans="1:7" x14ac:dyDescent="0.35">
      <c r="A27" s="3" t="s">
        <v>226</v>
      </c>
      <c r="B27" s="4">
        <v>45661</v>
      </c>
      <c r="C27" s="3" t="s">
        <v>230</v>
      </c>
      <c r="D27" s="5">
        <v>24.99</v>
      </c>
      <c r="E27" s="3">
        <v>1</v>
      </c>
      <c r="F27" s="3">
        <v>24.99</v>
      </c>
      <c r="G27" s="3" t="s">
        <v>231</v>
      </c>
    </row>
    <row r="28" spans="1:7" x14ac:dyDescent="0.35">
      <c r="A28" s="3" t="s">
        <v>226</v>
      </c>
      <c r="B28" s="4">
        <v>45661</v>
      </c>
      <c r="C28" s="3" t="s">
        <v>232</v>
      </c>
      <c r="D28" s="5">
        <v>37.950000000000003</v>
      </c>
      <c r="E28" s="3">
        <v>1</v>
      </c>
      <c r="F28" s="3">
        <v>37.950000000000003</v>
      </c>
      <c r="G28" s="3" t="s">
        <v>201</v>
      </c>
    </row>
    <row r="29" spans="1:7" x14ac:dyDescent="0.35">
      <c r="A29" t="s">
        <v>7</v>
      </c>
      <c r="B29" s="1">
        <v>45909</v>
      </c>
      <c r="C29" t="s">
        <v>8</v>
      </c>
      <c r="D29" s="2">
        <v>16.989999999999998</v>
      </c>
      <c r="E29">
        <v>1</v>
      </c>
      <c r="F29">
        <v>16.989999999999998</v>
      </c>
    </row>
    <row r="30" spans="1:7" x14ac:dyDescent="0.35">
      <c r="A30" t="s">
        <v>9</v>
      </c>
      <c r="B30" s="1">
        <v>45909</v>
      </c>
      <c r="C30" t="s">
        <v>10</v>
      </c>
      <c r="D30" s="2">
        <v>18.989999999999998</v>
      </c>
      <c r="E30">
        <v>1</v>
      </c>
      <c r="F30">
        <v>18.989999999999998</v>
      </c>
      <c r="G30" t="s">
        <v>11</v>
      </c>
    </row>
    <row r="31" spans="1:7" x14ac:dyDescent="0.35">
      <c r="A31" t="s">
        <v>12</v>
      </c>
      <c r="B31" s="1">
        <v>45909</v>
      </c>
      <c r="C31" t="s">
        <v>13</v>
      </c>
      <c r="D31" s="2">
        <v>13.99</v>
      </c>
      <c r="E31">
        <v>1</v>
      </c>
      <c r="F31">
        <v>13.99</v>
      </c>
      <c r="G31" t="s">
        <v>14</v>
      </c>
    </row>
    <row r="32" spans="1:7" x14ac:dyDescent="0.35">
      <c r="A32" t="s">
        <v>15</v>
      </c>
      <c r="B32" s="1">
        <v>45905</v>
      </c>
      <c r="C32" t="s">
        <v>16</v>
      </c>
      <c r="D32" s="2">
        <v>5.66</v>
      </c>
      <c r="E32">
        <v>1</v>
      </c>
      <c r="F32">
        <v>5.66</v>
      </c>
      <c r="G32" t="s">
        <v>17</v>
      </c>
    </row>
    <row r="33" spans="1:7" x14ac:dyDescent="0.35">
      <c r="A33" t="s">
        <v>18</v>
      </c>
      <c r="C33" t="s">
        <v>19</v>
      </c>
      <c r="D33" s="2">
        <v>50</v>
      </c>
      <c r="E33">
        <v>1</v>
      </c>
      <c r="F33">
        <v>50</v>
      </c>
      <c r="G33" t="s">
        <v>20</v>
      </c>
    </row>
    <row r="34" spans="1:7" x14ac:dyDescent="0.35">
      <c r="A34" t="s">
        <v>28</v>
      </c>
      <c r="B34" s="1">
        <v>45899</v>
      </c>
      <c r="C34" t="s">
        <v>29</v>
      </c>
      <c r="D34" s="2">
        <v>18.559999999999999</v>
      </c>
      <c r="E34">
        <v>1</v>
      </c>
      <c r="F34">
        <v>18.559999999999999</v>
      </c>
      <c r="G34" t="s">
        <v>30</v>
      </c>
    </row>
    <row r="35" spans="1:7" x14ac:dyDescent="0.35">
      <c r="A35" t="s">
        <v>31</v>
      </c>
      <c r="C35" t="s">
        <v>19</v>
      </c>
      <c r="D35" s="2">
        <v>50</v>
      </c>
      <c r="E35">
        <v>1</v>
      </c>
      <c r="F35">
        <v>50</v>
      </c>
      <c r="G35" t="s">
        <v>20</v>
      </c>
    </row>
    <row r="36" spans="1:7" x14ac:dyDescent="0.35">
      <c r="A36" t="s">
        <v>32</v>
      </c>
      <c r="B36" s="1">
        <v>45898</v>
      </c>
      <c r="C36" t="s">
        <v>33</v>
      </c>
      <c r="D36" s="2">
        <v>58.87</v>
      </c>
      <c r="E36">
        <v>1</v>
      </c>
      <c r="F36">
        <v>58.87</v>
      </c>
      <c r="G36" t="s">
        <v>34</v>
      </c>
    </row>
    <row r="37" spans="1:7" x14ac:dyDescent="0.35">
      <c r="A37" t="s">
        <v>35</v>
      </c>
      <c r="B37" s="1">
        <v>45893</v>
      </c>
      <c r="C37" t="s">
        <v>36</v>
      </c>
      <c r="D37" s="2">
        <v>37.76</v>
      </c>
      <c r="E37">
        <v>1</v>
      </c>
      <c r="F37">
        <v>37.76</v>
      </c>
      <c r="G37" t="s">
        <v>37</v>
      </c>
    </row>
    <row r="38" spans="1:7" x14ac:dyDescent="0.35">
      <c r="A38" t="s">
        <v>41</v>
      </c>
      <c r="B38" s="1">
        <v>45892</v>
      </c>
      <c r="C38" t="s">
        <v>42</v>
      </c>
      <c r="D38" s="2">
        <v>25.99</v>
      </c>
      <c r="E38">
        <v>1</v>
      </c>
      <c r="F38">
        <v>25.99</v>
      </c>
      <c r="G38" t="s">
        <v>43</v>
      </c>
    </row>
    <row r="39" spans="1:7" x14ac:dyDescent="0.35">
      <c r="A39" t="s">
        <v>44</v>
      </c>
      <c r="B39" s="1">
        <v>45880</v>
      </c>
      <c r="C39" t="s">
        <v>45</v>
      </c>
      <c r="D39" s="2">
        <v>67.989999999999995</v>
      </c>
      <c r="E39">
        <v>1</v>
      </c>
      <c r="F39">
        <v>67.989999999999995</v>
      </c>
      <c r="G39" t="s">
        <v>46</v>
      </c>
    </row>
    <row r="40" spans="1:7" x14ac:dyDescent="0.35">
      <c r="A40" t="s">
        <v>47</v>
      </c>
      <c r="B40" s="1">
        <v>45875</v>
      </c>
      <c r="C40" t="s">
        <v>16</v>
      </c>
      <c r="D40" s="2">
        <v>6.06</v>
      </c>
      <c r="E40">
        <v>1</v>
      </c>
      <c r="F40">
        <v>6.06</v>
      </c>
      <c r="G40" t="s">
        <v>17</v>
      </c>
    </row>
    <row r="41" spans="1:7" x14ac:dyDescent="0.35">
      <c r="A41" t="s">
        <v>48</v>
      </c>
      <c r="B41" s="1">
        <v>45872</v>
      </c>
      <c r="C41" t="s">
        <v>51</v>
      </c>
      <c r="D41" s="2">
        <v>24.99</v>
      </c>
      <c r="E41">
        <v>1</v>
      </c>
      <c r="F41">
        <v>24.99</v>
      </c>
      <c r="G41" t="s">
        <v>52</v>
      </c>
    </row>
    <row r="42" spans="1:7" x14ac:dyDescent="0.35">
      <c r="A42" t="s">
        <v>53</v>
      </c>
      <c r="B42" s="1">
        <v>45863</v>
      </c>
      <c r="C42" t="s">
        <v>54</v>
      </c>
      <c r="D42" s="2">
        <v>11.97</v>
      </c>
      <c r="E42">
        <v>1</v>
      </c>
      <c r="F42">
        <v>11.97</v>
      </c>
      <c r="G42" t="s">
        <v>55</v>
      </c>
    </row>
    <row r="43" spans="1:7" x14ac:dyDescent="0.35">
      <c r="A43" t="s">
        <v>53</v>
      </c>
      <c r="B43" s="1">
        <v>45863</v>
      </c>
      <c r="C43" t="s">
        <v>56</v>
      </c>
      <c r="D43" s="2">
        <v>19.489999999999998</v>
      </c>
      <c r="E43">
        <v>1</v>
      </c>
      <c r="F43">
        <v>19.489999999999998</v>
      </c>
      <c r="G43" t="s">
        <v>57</v>
      </c>
    </row>
    <row r="44" spans="1:7" x14ac:dyDescent="0.35">
      <c r="A44" t="s">
        <v>58</v>
      </c>
      <c r="B44" s="1">
        <v>45863</v>
      </c>
      <c r="C44" t="s">
        <v>59</v>
      </c>
      <c r="D44" s="2">
        <v>99.95</v>
      </c>
      <c r="E44">
        <v>1</v>
      </c>
      <c r="F44">
        <v>99.95</v>
      </c>
      <c r="G44" t="s">
        <v>60</v>
      </c>
    </row>
    <row r="45" spans="1:7" x14ac:dyDescent="0.35">
      <c r="A45" t="s">
        <v>61</v>
      </c>
      <c r="B45" s="1">
        <v>45863</v>
      </c>
      <c r="C45" t="s">
        <v>62</v>
      </c>
      <c r="D45" s="2">
        <v>7.99</v>
      </c>
      <c r="E45">
        <v>1</v>
      </c>
      <c r="F45">
        <v>7.99</v>
      </c>
      <c r="G45" t="s">
        <v>63</v>
      </c>
    </row>
    <row r="46" spans="1:7" x14ac:dyDescent="0.35">
      <c r="A46" t="s">
        <v>64</v>
      </c>
      <c r="B46" s="1">
        <v>45861</v>
      </c>
      <c r="C46" t="s">
        <v>65</v>
      </c>
      <c r="D46" s="2">
        <v>59.99</v>
      </c>
      <c r="E46">
        <v>1</v>
      </c>
      <c r="F46">
        <v>59.99</v>
      </c>
      <c r="G46" t="s">
        <v>66</v>
      </c>
    </row>
    <row r="47" spans="1:7" x14ac:dyDescent="0.35">
      <c r="A47" t="s">
        <v>71</v>
      </c>
      <c r="B47" s="1">
        <v>45858</v>
      </c>
      <c r="C47" t="s">
        <v>72</v>
      </c>
      <c r="D47" s="2">
        <v>101.99</v>
      </c>
      <c r="E47">
        <v>1</v>
      </c>
      <c r="F47">
        <v>101.99</v>
      </c>
      <c r="G47" t="s">
        <v>73</v>
      </c>
    </row>
    <row r="48" spans="1:7" x14ac:dyDescent="0.35">
      <c r="A48" t="s">
        <v>71</v>
      </c>
      <c r="B48" s="1">
        <v>45858</v>
      </c>
      <c r="C48" t="s">
        <v>74</v>
      </c>
      <c r="D48" s="2">
        <v>36.99</v>
      </c>
      <c r="E48">
        <v>1</v>
      </c>
      <c r="F48">
        <v>36.99</v>
      </c>
      <c r="G48" t="s">
        <v>75</v>
      </c>
    </row>
    <row r="49" spans="1:7" x14ac:dyDescent="0.35">
      <c r="A49" t="s">
        <v>76</v>
      </c>
      <c r="B49" s="1">
        <v>45858</v>
      </c>
      <c r="C49" t="s">
        <v>77</v>
      </c>
      <c r="D49" s="2">
        <v>22.99</v>
      </c>
      <c r="E49">
        <v>1</v>
      </c>
      <c r="F49">
        <v>22.99</v>
      </c>
      <c r="G49" t="s">
        <v>78</v>
      </c>
    </row>
    <row r="50" spans="1:7" x14ac:dyDescent="0.35">
      <c r="A50" t="s">
        <v>81</v>
      </c>
      <c r="B50" s="1">
        <v>45857</v>
      </c>
      <c r="C50" t="s">
        <v>82</v>
      </c>
      <c r="D50" s="2">
        <v>9.99</v>
      </c>
      <c r="E50">
        <v>1</v>
      </c>
      <c r="F50">
        <v>9.99</v>
      </c>
      <c r="G50" t="s">
        <v>83</v>
      </c>
    </row>
    <row r="51" spans="1:7" x14ac:dyDescent="0.35">
      <c r="A51" t="s">
        <v>84</v>
      </c>
      <c r="B51" s="1">
        <v>45853</v>
      </c>
      <c r="C51" t="s">
        <v>16</v>
      </c>
      <c r="D51" s="2">
        <v>7.97</v>
      </c>
      <c r="E51">
        <v>1</v>
      </c>
      <c r="F51">
        <v>7.97</v>
      </c>
      <c r="G51" t="s">
        <v>17</v>
      </c>
    </row>
    <row r="52" spans="1:7" x14ac:dyDescent="0.35">
      <c r="A52" t="s">
        <v>85</v>
      </c>
      <c r="B52" s="1">
        <v>45850</v>
      </c>
      <c r="C52" t="s">
        <v>86</v>
      </c>
      <c r="D52" s="2">
        <v>9.99</v>
      </c>
      <c r="E52">
        <v>1</v>
      </c>
      <c r="F52">
        <v>9.99</v>
      </c>
      <c r="G52" t="s">
        <v>78</v>
      </c>
    </row>
    <row r="53" spans="1:7" x14ac:dyDescent="0.35">
      <c r="A53" t="s">
        <v>87</v>
      </c>
      <c r="B53" s="1">
        <v>45846</v>
      </c>
      <c r="C53" t="s">
        <v>88</v>
      </c>
      <c r="D53" s="2">
        <v>9.99</v>
      </c>
      <c r="E53">
        <v>1</v>
      </c>
      <c r="F53">
        <v>9.99</v>
      </c>
      <c r="G53" t="s">
        <v>89</v>
      </c>
    </row>
    <row r="54" spans="1:7" x14ac:dyDescent="0.35">
      <c r="A54" t="s">
        <v>90</v>
      </c>
      <c r="C54" t="s">
        <v>91</v>
      </c>
      <c r="D54" s="2">
        <v>50</v>
      </c>
      <c r="E54">
        <v>1</v>
      </c>
      <c r="F54">
        <v>50</v>
      </c>
      <c r="G54" t="s">
        <v>20</v>
      </c>
    </row>
    <row r="55" spans="1:7" x14ac:dyDescent="0.35">
      <c r="A55" t="s">
        <v>92</v>
      </c>
      <c r="B55" s="1">
        <v>45839</v>
      </c>
      <c r="C55" t="s">
        <v>93</v>
      </c>
      <c r="D55" s="2">
        <v>13.99</v>
      </c>
      <c r="E55">
        <v>1</v>
      </c>
      <c r="F55">
        <v>13.99</v>
      </c>
      <c r="G55" t="s">
        <v>89</v>
      </c>
    </row>
    <row r="56" spans="1:7" x14ac:dyDescent="0.35">
      <c r="A56" t="s">
        <v>92</v>
      </c>
      <c r="B56" s="1">
        <v>45839</v>
      </c>
      <c r="C56" t="s">
        <v>94</v>
      </c>
      <c r="D56" s="2">
        <v>11.99</v>
      </c>
      <c r="E56">
        <v>1</v>
      </c>
      <c r="F56">
        <v>11.99</v>
      </c>
      <c r="G56" t="s">
        <v>95</v>
      </c>
    </row>
    <row r="57" spans="1:7" x14ac:dyDescent="0.35">
      <c r="A57" t="s">
        <v>96</v>
      </c>
      <c r="B57" s="1">
        <v>45834</v>
      </c>
      <c r="C57" t="s">
        <v>97</v>
      </c>
      <c r="D57" s="2">
        <v>9.98</v>
      </c>
      <c r="E57">
        <v>1</v>
      </c>
      <c r="F57">
        <v>9.98</v>
      </c>
      <c r="G57" t="s">
        <v>98</v>
      </c>
    </row>
    <row r="58" spans="1:7" x14ac:dyDescent="0.35">
      <c r="A58" t="s">
        <v>99</v>
      </c>
      <c r="B58" s="1">
        <v>45830</v>
      </c>
      <c r="C58" t="s">
        <v>100</v>
      </c>
      <c r="D58" s="2">
        <v>27.99</v>
      </c>
      <c r="E58">
        <v>1</v>
      </c>
      <c r="F58">
        <v>27.99</v>
      </c>
      <c r="G58" t="s">
        <v>101</v>
      </c>
    </row>
    <row r="59" spans="1:7" x14ac:dyDescent="0.35">
      <c r="A59" t="s">
        <v>105</v>
      </c>
      <c r="B59" s="1">
        <v>45824</v>
      </c>
      <c r="C59" t="s">
        <v>106</v>
      </c>
      <c r="D59" s="2">
        <v>87.99</v>
      </c>
      <c r="E59">
        <v>1</v>
      </c>
      <c r="F59">
        <v>87.99</v>
      </c>
      <c r="G59" t="s">
        <v>107</v>
      </c>
    </row>
    <row r="60" spans="1:7" x14ac:dyDescent="0.35">
      <c r="A60" t="s">
        <v>111</v>
      </c>
      <c r="B60" s="1">
        <v>45822</v>
      </c>
      <c r="C60" t="s">
        <v>112</v>
      </c>
      <c r="D60" s="2">
        <v>4.4400000000000004</v>
      </c>
      <c r="E60">
        <v>1</v>
      </c>
      <c r="F60">
        <v>4.4400000000000004</v>
      </c>
      <c r="G60" t="s">
        <v>113</v>
      </c>
    </row>
    <row r="61" spans="1:7" x14ac:dyDescent="0.35">
      <c r="A61" t="s">
        <v>111</v>
      </c>
      <c r="B61" s="1">
        <v>45822</v>
      </c>
      <c r="C61" t="s">
        <v>114</v>
      </c>
      <c r="D61" s="2">
        <v>13.97</v>
      </c>
      <c r="E61">
        <v>1</v>
      </c>
      <c r="F61">
        <v>13.97</v>
      </c>
      <c r="G61" t="s">
        <v>115</v>
      </c>
    </row>
    <row r="62" spans="1:7" x14ac:dyDescent="0.35">
      <c r="A62" t="s">
        <v>116</v>
      </c>
      <c r="B62" s="1">
        <v>45817</v>
      </c>
      <c r="C62" t="s">
        <v>117</v>
      </c>
      <c r="D62" s="2">
        <v>599.99</v>
      </c>
      <c r="E62">
        <v>1</v>
      </c>
      <c r="F62">
        <v>599.99</v>
      </c>
      <c r="G62" t="s">
        <v>118</v>
      </c>
    </row>
    <row r="63" spans="1:7" x14ac:dyDescent="0.35">
      <c r="A63" t="s">
        <v>119</v>
      </c>
      <c r="B63" s="1">
        <v>45816</v>
      </c>
      <c r="C63" t="s">
        <v>120</v>
      </c>
      <c r="D63" s="2">
        <v>15.99</v>
      </c>
      <c r="E63">
        <v>1</v>
      </c>
      <c r="F63">
        <v>15.99</v>
      </c>
      <c r="G63" t="s">
        <v>121</v>
      </c>
    </row>
    <row r="64" spans="1:7" x14ac:dyDescent="0.35">
      <c r="A64" t="s">
        <v>122</v>
      </c>
      <c r="C64" t="s">
        <v>123</v>
      </c>
      <c r="D64" s="2">
        <v>100</v>
      </c>
      <c r="E64">
        <v>1</v>
      </c>
      <c r="F64">
        <v>100</v>
      </c>
      <c r="G64" t="s">
        <v>20</v>
      </c>
    </row>
    <row r="65" spans="1:7" x14ac:dyDescent="0.35">
      <c r="A65" t="s">
        <v>124</v>
      </c>
      <c r="B65" s="1">
        <v>45794</v>
      </c>
      <c r="C65" t="s">
        <v>125</v>
      </c>
      <c r="D65" s="2">
        <v>49.99</v>
      </c>
      <c r="E65">
        <v>1</v>
      </c>
      <c r="F65">
        <v>49.99</v>
      </c>
      <c r="G65" t="s">
        <v>126</v>
      </c>
    </row>
    <row r="66" spans="1:7" x14ac:dyDescent="0.35">
      <c r="A66" t="s">
        <v>130</v>
      </c>
      <c r="B66" s="1">
        <v>45793</v>
      </c>
      <c r="C66" t="s">
        <v>131</v>
      </c>
      <c r="D66" s="2">
        <v>9.99</v>
      </c>
      <c r="E66">
        <v>1</v>
      </c>
      <c r="F66">
        <v>9.99</v>
      </c>
      <c r="G66" t="s">
        <v>132</v>
      </c>
    </row>
    <row r="67" spans="1:7" x14ac:dyDescent="0.35">
      <c r="A67" t="s">
        <v>133</v>
      </c>
      <c r="B67" s="1">
        <v>45793</v>
      </c>
      <c r="C67" t="s">
        <v>134</v>
      </c>
      <c r="D67" s="2">
        <v>12.65</v>
      </c>
      <c r="E67">
        <v>1</v>
      </c>
      <c r="F67">
        <v>12.65</v>
      </c>
      <c r="G67" t="s">
        <v>135</v>
      </c>
    </row>
    <row r="68" spans="1:7" x14ac:dyDescent="0.35">
      <c r="A68" t="s">
        <v>133</v>
      </c>
      <c r="B68" s="1">
        <v>45793</v>
      </c>
      <c r="C68" t="s">
        <v>136</v>
      </c>
      <c r="D68" s="2">
        <v>15.99</v>
      </c>
      <c r="E68">
        <v>1</v>
      </c>
      <c r="F68">
        <v>15.99</v>
      </c>
      <c r="G68" t="s">
        <v>137</v>
      </c>
    </row>
    <row r="69" spans="1:7" x14ac:dyDescent="0.35">
      <c r="A69" t="s">
        <v>138</v>
      </c>
      <c r="B69" s="1">
        <v>45792</v>
      </c>
      <c r="C69" t="s">
        <v>139</v>
      </c>
      <c r="D69" s="2">
        <v>99.99</v>
      </c>
      <c r="E69">
        <v>1</v>
      </c>
      <c r="F69">
        <v>99.99</v>
      </c>
      <c r="G69" t="s">
        <v>140</v>
      </c>
    </row>
    <row r="70" spans="1:7" x14ac:dyDescent="0.35">
      <c r="A70" t="s">
        <v>141</v>
      </c>
      <c r="B70" s="1">
        <v>45780</v>
      </c>
      <c r="C70" t="s">
        <v>142</v>
      </c>
      <c r="D70" s="2">
        <v>22.99</v>
      </c>
      <c r="E70">
        <v>3</v>
      </c>
      <c r="F70">
        <v>68.97</v>
      </c>
      <c r="G70" t="s">
        <v>143</v>
      </c>
    </row>
    <row r="71" spans="1:7" x14ac:dyDescent="0.35">
      <c r="A71" t="s">
        <v>147</v>
      </c>
      <c r="B71" s="1">
        <v>45779</v>
      </c>
      <c r="C71" t="s">
        <v>148</v>
      </c>
      <c r="D71" s="2">
        <v>24</v>
      </c>
      <c r="E71">
        <v>1</v>
      </c>
      <c r="F71">
        <v>24</v>
      </c>
      <c r="G71" t="s">
        <v>149</v>
      </c>
    </row>
    <row r="72" spans="1:7" x14ac:dyDescent="0.35">
      <c r="A72" t="s">
        <v>150</v>
      </c>
      <c r="B72" s="1">
        <v>45766</v>
      </c>
      <c r="C72" t="s">
        <v>151</v>
      </c>
      <c r="D72" s="2">
        <v>69.989999999999995</v>
      </c>
      <c r="E72">
        <v>1</v>
      </c>
      <c r="F72">
        <v>69.989999999999995</v>
      </c>
      <c r="G72" t="s">
        <v>152</v>
      </c>
    </row>
    <row r="73" spans="1:7" x14ac:dyDescent="0.35">
      <c r="A73" t="s">
        <v>153</v>
      </c>
      <c r="B73" s="1">
        <v>45759</v>
      </c>
      <c r="C73" t="s">
        <v>154</v>
      </c>
      <c r="D73" s="2">
        <v>12.74</v>
      </c>
      <c r="E73">
        <v>1</v>
      </c>
      <c r="F73">
        <v>12.74</v>
      </c>
      <c r="G73" t="s">
        <v>155</v>
      </c>
    </row>
    <row r="74" spans="1:7" x14ac:dyDescent="0.35">
      <c r="A74" t="s">
        <v>162</v>
      </c>
      <c r="B74" s="1">
        <v>45743</v>
      </c>
      <c r="C74" t="s">
        <v>163</v>
      </c>
      <c r="D74" s="2">
        <v>159.99</v>
      </c>
      <c r="E74">
        <v>1</v>
      </c>
      <c r="F74">
        <v>159.99</v>
      </c>
      <c r="G74" t="s">
        <v>164</v>
      </c>
    </row>
    <row r="75" spans="1:7" x14ac:dyDescent="0.35">
      <c r="A75" t="s">
        <v>162</v>
      </c>
      <c r="B75" s="1">
        <v>45743</v>
      </c>
      <c r="C75" t="s">
        <v>165</v>
      </c>
      <c r="D75" s="2">
        <v>32.39</v>
      </c>
      <c r="E75">
        <v>2</v>
      </c>
      <c r="F75">
        <v>64.78</v>
      </c>
      <c r="G75" t="s">
        <v>166</v>
      </c>
    </row>
    <row r="76" spans="1:7" x14ac:dyDescent="0.35">
      <c r="A76" t="s">
        <v>167</v>
      </c>
      <c r="B76" s="1">
        <v>45742</v>
      </c>
      <c r="C76" t="s">
        <v>168</v>
      </c>
      <c r="D76" s="2">
        <v>15.99</v>
      </c>
      <c r="E76">
        <v>1</v>
      </c>
      <c r="F76">
        <v>15.99</v>
      </c>
      <c r="G76" t="s">
        <v>140</v>
      </c>
    </row>
    <row r="77" spans="1:7" x14ac:dyDescent="0.35">
      <c r="A77" t="s">
        <v>169</v>
      </c>
      <c r="B77" s="1">
        <v>45741</v>
      </c>
      <c r="C77" t="s">
        <v>170</v>
      </c>
      <c r="D77" s="2">
        <v>9.98</v>
      </c>
      <c r="E77">
        <v>1</v>
      </c>
      <c r="F77">
        <v>9.98</v>
      </c>
      <c r="G77" t="s">
        <v>171</v>
      </c>
    </row>
    <row r="78" spans="1:7" x14ac:dyDescent="0.35">
      <c r="A78" t="s">
        <v>172</v>
      </c>
      <c r="B78" s="1">
        <v>45739</v>
      </c>
      <c r="C78" t="s">
        <v>173</v>
      </c>
      <c r="D78" s="2">
        <v>29.99</v>
      </c>
      <c r="E78">
        <v>1</v>
      </c>
      <c r="F78">
        <v>29.99</v>
      </c>
      <c r="G78" t="s">
        <v>174</v>
      </c>
    </row>
    <row r="79" spans="1:7" x14ac:dyDescent="0.35">
      <c r="A79" t="s">
        <v>177</v>
      </c>
      <c r="B79" s="1">
        <v>45728</v>
      </c>
      <c r="C79" t="s">
        <v>178</v>
      </c>
      <c r="D79" s="2">
        <v>16.170000000000002</v>
      </c>
      <c r="E79">
        <v>1</v>
      </c>
      <c r="F79">
        <v>16.170000000000002</v>
      </c>
      <c r="G79" t="s">
        <v>179</v>
      </c>
    </row>
    <row r="80" spans="1:7" x14ac:dyDescent="0.35">
      <c r="A80" t="s">
        <v>180</v>
      </c>
      <c r="B80" s="1">
        <v>45726</v>
      </c>
      <c r="C80" t="s">
        <v>16</v>
      </c>
      <c r="D80" s="2">
        <v>6.38</v>
      </c>
      <c r="E80">
        <v>1</v>
      </c>
      <c r="F80">
        <v>6.38</v>
      </c>
      <c r="G80" t="s">
        <v>17</v>
      </c>
    </row>
    <row r="81" spans="1:7" x14ac:dyDescent="0.35">
      <c r="A81" t="s">
        <v>181</v>
      </c>
      <c r="B81" s="1">
        <v>45720</v>
      </c>
      <c r="C81" t="s">
        <v>182</v>
      </c>
      <c r="D81" s="2">
        <v>540.19000000000005</v>
      </c>
      <c r="E81">
        <v>1</v>
      </c>
      <c r="F81">
        <v>540.19000000000005</v>
      </c>
      <c r="G81" t="s">
        <v>183</v>
      </c>
    </row>
    <row r="82" spans="1:7" x14ac:dyDescent="0.35">
      <c r="A82" t="s">
        <v>190</v>
      </c>
      <c r="B82" s="1">
        <v>45709</v>
      </c>
      <c r="C82" t="s">
        <v>191</v>
      </c>
      <c r="D82" s="2">
        <v>8.34</v>
      </c>
      <c r="E82">
        <v>4</v>
      </c>
      <c r="F82">
        <v>33.36</v>
      </c>
      <c r="G82" t="s">
        <v>192</v>
      </c>
    </row>
    <row r="83" spans="1:7" x14ac:dyDescent="0.35">
      <c r="A83" t="s">
        <v>196</v>
      </c>
      <c r="B83" s="1">
        <v>45697</v>
      </c>
      <c r="C83" t="s">
        <v>197</v>
      </c>
      <c r="D83" s="2">
        <v>7.99</v>
      </c>
      <c r="E83">
        <v>1</v>
      </c>
      <c r="F83">
        <v>7.99</v>
      </c>
      <c r="G83" t="s">
        <v>198</v>
      </c>
    </row>
    <row r="84" spans="1:7" x14ac:dyDescent="0.35">
      <c r="A84" t="s">
        <v>202</v>
      </c>
      <c r="B84" s="1">
        <v>45682</v>
      </c>
      <c r="C84" t="s">
        <v>203</v>
      </c>
      <c r="D84" s="2">
        <v>19.989999999999998</v>
      </c>
      <c r="E84">
        <v>1</v>
      </c>
      <c r="F84">
        <v>19.989999999999998</v>
      </c>
      <c r="G84" t="s">
        <v>204</v>
      </c>
    </row>
    <row r="85" spans="1:7" x14ac:dyDescent="0.35">
      <c r="A85" t="s">
        <v>205</v>
      </c>
      <c r="B85" s="1">
        <v>45682</v>
      </c>
      <c r="C85" t="s">
        <v>206</v>
      </c>
      <c r="D85" s="2">
        <v>35.64</v>
      </c>
      <c r="E85">
        <v>1</v>
      </c>
      <c r="F85">
        <v>35.64</v>
      </c>
      <c r="G85" t="s">
        <v>207</v>
      </c>
    </row>
    <row r="86" spans="1:7" x14ac:dyDescent="0.35">
      <c r="A86" t="s">
        <v>205</v>
      </c>
      <c r="B86" s="1">
        <v>45682</v>
      </c>
      <c r="C86" t="s">
        <v>208</v>
      </c>
      <c r="D86" s="2">
        <v>9.99</v>
      </c>
      <c r="E86">
        <v>1</v>
      </c>
      <c r="F86">
        <v>9.99</v>
      </c>
      <c r="G86" t="s">
        <v>209</v>
      </c>
    </row>
    <row r="87" spans="1:7" x14ac:dyDescent="0.35">
      <c r="A87" t="s">
        <v>205</v>
      </c>
      <c r="B87" s="1">
        <v>45682</v>
      </c>
      <c r="C87" t="s">
        <v>210</v>
      </c>
      <c r="D87" s="2">
        <v>10.96</v>
      </c>
      <c r="E87">
        <v>1</v>
      </c>
      <c r="F87">
        <v>10.96</v>
      </c>
      <c r="G87" t="s">
        <v>209</v>
      </c>
    </row>
    <row r="88" spans="1:7" x14ac:dyDescent="0.35">
      <c r="A88" t="s">
        <v>205</v>
      </c>
      <c r="B88" s="1">
        <v>45682</v>
      </c>
      <c r="C88" t="s">
        <v>211</v>
      </c>
      <c r="D88" s="2">
        <v>9.06</v>
      </c>
      <c r="E88">
        <v>1</v>
      </c>
      <c r="F88">
        <v>9.06</v>
      </c>
      <c r="G88" t="s">
        <v>212</v>
      </c>
    </row>
    <row r="89" spans="1:7" x14ac:dyDescent="0.35">
      <c r="A89" t="s">
        <v>215</v>
      </c>
      <c r="B89" s="1">
        <v>45680</v>
      </c>
      <c r="C89" t="s">
        <v>216</v>
      </c>
      <c r="D89" s="2">
        <v>39.99</v>
      </c>
      <c r="E89">
        <v>1</v>
      </c>
      <c r="F89">
        <v>39.99</v>
      </c>
      <c r="G89" t="s">
        <v>217</v>
      </c>
    </row>
    <row r="90" spans="1:7" x14ac:dyDescent="0.35">
      <c r="A90" t="s">
        <v>215</v>
      </c>
      <c r="B90" s="1">
        <v>45680</v>
      </c>
      <c r="C90" t="s">
        <v>218</v>
      </c>
      <c r="D90" s="2">
        <v>9.48</v>
      </c>
      <c r="E90">
        <v>1</v>
      </c>
      <c r="F90">
        <v>9.48</v>
      </c>
      <c r="G90" t="s">
        <v>219</v>
      </c>
    </row>
    <row r="91" spans="1:7" x14ac:dyDescent="0.35">
      <c r="A91" t="s">
        <v>220</v>
      </c>
      <c r="B91" s="1">
        <v>45665</v>
      </c>
      <c r="C91" t="s">
        <v>221</v>
      </c>
      <c r="D91" s="2">
        <v>35.99</v>
      </c>
      <c r="E91">
        <v>1</v>
      </c>
      <c r="F91">
        <v>35.99</v>
      </c>
      <c r="G91" t="s">
        <v>222</v>
      </c>
    </row>
    <row r="92" spans="1:7" x14ac:dyDescent="0.35">
      <c r="A92" t="s">
        <v>226</v>
      </c>
      <c r="B92" s="1">
        <v>45661</v>
      </c>
      <c r="C92" t="s">
        <v>227</v>
      </c>
      <c r="D92" s="2">
        <v>20.37</v>
      </c>
      <c r="E92">
        <v>2</v>
      </c>
      <c r="F92">
        <v>40.74</v>
      </c>
      <c r="G92" t="s">
        <v>179</v>
      </c>
    </row>
  </sheetData>
  <autoFilter ref="A1:G92" xr:uid="{7FE8BF15-CFB2-46DD-BCEA-9B64D17481A6}">
    <sortState xmlns:xlrd2="http://schemas.microsoft.com/office/spreadsheetml/2017/richdata2" ref="A2:G92">
      <sortCondition sortBy="cellColor" ref="D1:D92" dxfId="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JGarza</dc:creator>
  <cp:lastModifiedBy>Justin Garza</cp:lastModifiedBy>
  <dcterms:created xsi:type="dcterms:W3CDTF">2025-09-11T18:38:07Z</dcterms:created>
  <dcterms:modified xsi:type="dcterms:W3CDTF">2025-09-11T18:44:34Z</dcterms:modified>
</cp:coreProperties>
</file>